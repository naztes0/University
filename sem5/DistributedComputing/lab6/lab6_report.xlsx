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4"/>
  </sheets>
  <definedNames/>
  <calcPr/>
</workbook>
</file>

<file path=xl/sharedStrings.xml><?xml version="1.0" encoding="utf-8"?>
<sst xmlns="http://schemas.openxmlformats.org/spreadsheetml/2006/main" count="31" uniqueCount="23">
  <si>
    <t>Lab 6</t>
  </si>
  <si>
    <t>Sequence execution</t>
  </si>
  <si>
    <t>Test number</t>
  </si>
  <si>
    <t>Data Size</t>
  </si>
  <si>
    <t>Execution time (sec)</t>
  </si>
  <si>
    <t>Iterations</t>
  </si>
  <si>
    <t>Theoretical execution time
(sec)</t>
  </si>
  <si>
    <t>Theoretical execution time formula</t>
  </si>
  <si>
    <t>EPS:</t>
  </si>
  <si>
    <t>Initialization:</t>
  </si>
  <si>
    <t>Random</t>
  </si>
  <si>
    <t>Parallel execution</t>
  </si>
  <si>
    <t>Execution Times on PC</t>
  </si>
  <si>
    <t>numbers [0; 2157]</t>
  </si>
  <si>
    <t>Matrix Size</t>
  </si>
  <si>
    <t>Serial algorithm</t>
  </si>
  <si>
    <t>Parallel algorithm</t>
  </si>
  <si>
    <t>2 processors</t>
  </si>
  <si>
    <t>4 processsors</t>
  </si>
  <si>
    <t>8 processors (oversub)</t>
  </si>
  <si>
    <t xml:space="preserve">Time </t>
  </si>
  <si>
    <t>Speed up</t>
  </si>
  <si>
    <t>12,,521861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</si>
</sst>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0000"/>
    <numFmt numFmtId="165" formatCode="0.0000000"/>
    <numFmt numFmtId="166" formatCode="#,##0.00000"/>
    <numFmt numFmtId="167" formatCode="0.000000"/>
    <numFmt numFmtId="168" formatCode="0.00000"/>
  </numFmts>
  <fonts count="10">
    <font>
      <sz val="10.0"/>
      <color rgb="FF000000"/>
      <name val="Arial"/>
      <scheme val="minor"/>
    </font>
    <font>
      <color theme="1"/>
      <name val="Arial"/>
    </font>
    <font>
      <sz val="20.0"/>
      <color theme="1"/>
      <name val="Arial"/>
    </font>
    <font>
      <color theme="1"/>
      <name val="Arial"/>
      <scheme val="minor"/>
    </font>
    <font>
      <sz val="15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b/>
      <color theme="1"/>
      <name val="Arial"/>
      <scheme val="minor"/>
    </font>
    <font>
      <sz val="16.0"/>
      <color theme="1"/>
      <name val="Arial"/>
    </font>
    <font/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3" fontId="4" numFmtId="0" xfId="0" applyAlignment="1" applyFill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5" fontId="6" numFmtId="0" xfId="0" applyAlignment="1" applyBorder="1" applyFill="1" applyFont="1">
      <alignment horizontal="center" vertical="center"/>
    </xf>
    <xf borderId="1" fillId="0" fontId="5" numFmtId="3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readingOrder="0" vertical="center"/>
    </xf>
    <xf borderId="1" fillId="0" fontId="5" numFmtId="3" xfId="0" applyAlignment="1" applyBorder="1" applyFont="1" applyNumberFormat="1">
      <alignment horizontal="center" readingOrder="0" vertical="center"/>
    </xf>
    <xf borderId="1" fillId="0" fontId="5" numFmtId="165" xfId="0" applyAlignment="1" applyBorder="1" applyFont="1" applyNumberFormat="1">
      <alignment horizontal="center" vertical="center"/>
    </xf>
    <xf borderId="1" fillId="6" fontId="7" numFmtId="0" xfId="0" applyAlignment="1" applyBorder="1" applyFill="1" applyFont="1">
      <alignment horizontal="left" readingOrder="0" vertical="center"/>
    </xf>
    <xf borderId="1" fillId="0" fontId="3" numFmtId="0" xfId="0" applyAlignment="1" applyBorder="1" applyFont="1">
      <alignment horizontal="left" readingOrder="0" vertical="center"/>
    </xf>
    <xf borderId="0" fillId="0" fontId="6" numFmtId="0" xfId="0" applyAlignment="1" applyFon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0" fillId="0" fontId="5" numFmtId="167" xfId="0" applyAlignment="1" applyFont="1" applyNumberFormat="1">
      <alignment horizontal="center" vertical="center"/>
    </xf>
    <xf borderId="0" fillId="7" fontId="8" numFmtId="0" xfId="0" applyAlignment="1" applyFill="1" applyFont="1">
      <alignment horizontal="center"/>
    </xf>
    <xf borderId="0" fillId="8" fontId="4" numFmtId="0" xfId="0" applyAlignment="1" applyFill="1" applyFont="1">
      <alignment horizont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2" fillId="4" fontId="5" numFmtId="0" xfId="0" applyAlignment="1" applyBorder="1" applyFont="1">
      <alignment horizontal="center" vertical="center"/>
    </xf>
    <xf borderId="2" fillId="4" fontId="5" numFmtId="0" xfId="0" applyAlignment="1" applyBorder="1" applyFont="1">
      <alignment horizontal="center" shrinkToFit="0" vertical="center" wrapText="1"/>
    </xf>
    <xf borderId="3" fillId="9" fontId="5" numFmtId="0" xfId="0" applyAlignment="1" applyBorder="1" applyFill="1" applyFont="1">
      <alignment horizontal="center" vertical="center"/>
    </xf>
    <xf borderId="4" fillId="0" fontId="9" numFmtId="0" xfId="0" applyBorder="1" applyFont="1"/>
    <xf borderId="0" fillId="0" fontId="5" numFmtId="0" xfId="0" applyAlignment="1" applyFont="1">
      <alignment horizontal="center" readingOrder="0" vertical="center"/>
    </xf>
    <xf borderId="5" fillId="0" fontId="9" numFmtId="0" xfId="0" applyBorder="1" applyFont="1"/>
    <xf borderId="3" fillId="7" fontId="5" numFmtId="0" xfId="0" applyAlignment="1" applyBorder="1" applyFont="1">
      <alignment horizontal="center" vertical="center"/>
    </xf>
    <xf borderId="6" fillId="0" fontId="9" numFmtId="0" xfId="0" applyBorder="1" applyFont="1"/>
    <xf borderId="3" fillId="7" fontId="5" numFmtId="0" xfId="0" applyAlignment="1" applyBorder="1" applyFont="1">
      <alignment horizontal="center" readingOrder="0" vertical="center"/>
    </xf>
    <xf borderId="7" fillId="0" fontId="9" numFmtId="0" xfId="0" applyBorder="1" applyFont="1"/>
    <xf borderId="1" fillId="0" fontId="5" numFmtId="168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962025</xdr:colOff>
      <xdr:row>6</xdr:row>
      <xdr:rowOff>590550</xdr:rowOff>
    </xdr:from>
    <xdr:ext cx="1228725" cy="400050"/>
    <xdr:pic>
      <xdr:nvPicPr>
        <xdr:cNvPr id="0" name="image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15.38"/>
    <col customWidth="1" min="4" max="4" width="14.5"/>
    <col customWidth="1" min="5" max="5" width="16.0"/>
    <col customWidth="1" min="7" max="7" width="14.13"/>
  </cols>
  <sheetData>
    <row r="1">
      <c r="A1" s="1"/>
      <c r="B1" s="2" t="s">
        <v>0</v>
      </c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1"/>
      <c r="C2" s="1"/>
      <c r="D2" s="1"/>
      <c r="E2" s="1"/>
      <c r="F2" s="1"/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1"/>
      <c r="C3" s="1"/>
      <c r="D3" s="1"/>
      <c r="E3" s="1"/>
      <c r="F3" s="1"/>
      <c r="G3" s="1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4" t="s">
        <v>1</v>
      </c>
      <c r="G4" s="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7.25" customHeight="1">
      <c r="A7" s="5" t="s">
        <v>2</v>
      </c>
      <c r="B7" s="5" t="s">
        <v>3</v>
      </c>
      <c r="C7" s="6" t="s">
        <v>4</v>
      </c>
      <c r="D7" s="7" t="s">
        <v>5</v>
      </c>
      <c r="E7" s="6" t="s">
        <v>6</v>
      </c>
      <c r="F7" s="3"/>
      <c r="G7" s="8" t="s">
        <v>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>
        <v>1.0</v>
      </c>
      <c r="B8" s="10">
        <v>10.0</v>
      </c>
      <c r="C8" s="11">
        <v>2.1E-5</v>
      </c>
      <c r="D8" s="12">
        <v>44.0</v>
      </c>
      <c r="E8" s="13">
        <f t="shared" ref="E8:E13" si="1">D8*6*(B8-2)^2*($C$11/($D$11*6*($B$11-2)^2))</f>
        <v>0.00002046260232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>
        <v>2.0</v>
      </c>
      <c r="B9" s="10">
        <v>100.0</v>
      </c>
      <c r="C9" s="11">
        <v>0.028162</v>
      </c>
      <c r="D9" s="12">
        <v>374.0</v>
      </c>
      <c r="E9" s="13">
        <f t="shared" si="1"/>
        <v>0.02610068872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>
        <v>3.0</v>
      </c>
      <c r="B10" s="12">
        <v>1000.0</v>
      </c>
      <c r="C10" s="11">
        <v>2.612703</v>
      </c>
      <c r="D10" s="12">
        <v>359.0</v>
      </c>
      <c r="E10" s="13">
        <f t="shared" si="1"/>
        <v>2.598266804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>
        <v>4.0</v>
      </c>
      <c r="B11" s="12">
        <v>2000.0</v>
      </c>
      <c r="C11" s="11">
        <v>10.587954</v>
      </c>
      <c r="D11" s="12">
        <v>365.0</v>
      </c>
      <c r="E11" s="13">
        <f t="shared" si="1"/>
        <v>10.587954</v>
      </c>
      <c r="F11" s="3"/>
      <c r="G11" s="14" t="s">
        <v>8</v>
      </c>
      <c r="H11" s="15">
        <v>1.0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9">
        <v>5.0</v>
      </c>
      <c r="B12" s="12">
        <v>3000.0</v>
      </c>
      <c r="C12" s="11">
        <v>23.515061</v>
      </c>
      <c r="D12" s="12">
        <v>366.0</v>
      </c>
      <c r="E12" s="13">
        <f t="shared" si="1"/>
        <v>23.90410875</v>
      </c>
      <c r="F12" s="3"/>
      <c r="G12" s="14" t="s">
        <v>9</v>
      </c>
      <c r="H12" s="15" t="s">
        <v>10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9">
        <v>6.0</v>
      </c>
      <c r="B13" s="12">
        <v>4000.0</v>
      </c>
      <c r="C13" s="11">
        <v>43.590065</v>
      </c>
      <c r="D13" s="12">
        <v>368.0</v>
      </c>
      <c r="E13" s="13">
        <f t="shared" si="1"/>
        <v>42.74266647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6"/>
      <c r="B14" s="17"/>
      <c r="C14" s="18"/>
      <c r="D14" s="1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20" t="s">
        <v>11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21" t="s">
        <v>12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4" t="s">
        <v>8</v>
      </c>
      <c r="B21" s="15">
        <v>1.0</v>
      </c>
      <c r="C21" s="22"/>
      <c r="D21" s="22"/>
      <c r="E21" s="22"/>
      <c r="F21" s="22"/>
      <c r="G21" s="22"/>
      <c r="H21" s="22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14" t="s">
        <v>9</v>
      </c>
      <c r="B22" s="15" t="s">
        <v>10</v>
      </c>
      <c r="C22" s="24" t="s">
        <v>13</v>
      </c>
      <c r="D22" s="22"/>
      <c r="E22" s="22"/>
      <c r="F22" s="22"/>
      <c r="G22" s="22"/>
      <c r="H22" s="22"/>
      <c r="I22" s="22"/>
      <c r="J22" s="23"/>
      <c r="K22" s="22"/>
      <c r="L22" s="22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3"/>
      <c r="K23" s="22"/>
      <c r="L23" s="22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5" t="s">
        <v>2</v>
      </c>
      <c r="B24" s="25" t="s">
        <v>14</v>
      </c>
      <c r="C24" s="26" t="s">
        <v>15</v>
      </c>
      <c r="D24" s="27" t="s">
        <v>16</v>
      </c>
      <c r="E24" s="28"/>
      <c r="F24" s="28"/>
      <c r="G24" s="28"/>
      <c r="H24" s="28"/>
      <c r="I24" s="28"/>
      <c r="J24" s="29"/>
      <c r="K24" s="29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30"/>
      <c r="B25" s="30"/>
      <c r="C25" s="30"/>
      <c r="D25" s="31" t="s">
        <v>17</v>
      </c>
      <c r="E25" s="32"/>
      <c r="F25" s="31" t="s">
        <v>18</v>
      </c>
      <c r="G25" s="32"/>
      <c r="H25" s="33" t="s">
        <v>19</v>
      </c>
      <c r="I25" s="32"/>
      <c r="J25" s="29"/>
      <c r="K25" s="29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34"/>
      <c r="B26" s="34"/>
      <c r="C26" s="34"/>
      <c r="D26" s="6" t="s">
        <v>20</v>
      </c>
      <c r="E26" s="6" t="s">
        <v>21</v>
      </c>
      <c r="F26" s="6" t="s">
        <v>20</v>
      </c>
      <c r="G26" s="6" t="s">
        <v>21</v>
      </c>
      <c r="H26" s="6" t="s">
        <v>20</v>
      </c>
      <c r="I26" s="6" t="s">
        <v>21</v>
      </c>
      <c r="J26" s="29"/>
      <c r="K26" s="29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9">
        <v>1.0</v>
      </c>
      <c r="B27" s="10">
        <v>10.0</v>
      </c>
      <c r="C27" s="11">
        <v>2.1E-5</v>
      </c>
      <c r="D27" s="11">
        <v>4.61E-4</v>
      </c>
      <c r="E27" s="35">
        <f t="shared" ref="E27:E38" si="2">C27/D27</f>
        <v>0.04555314534</v>
      </c>
      <c r="F27" s="36">
        <v>6.78E-4</v>
      </c>
      <c r="G27" s="13">
        <f t="shared" ref="G27:G38" si="3">C27/F27</f>
        <v>0.03097345133</v>
      </c>
      <c r="H27" s="36">
        <v>0.00105</v>
      </c>
      <c r="I27" s="13">
        <f t="shared" ref="I27:I38" si="4">C27/H27</f>
        <v>0.02</v>
      </c>
      <c r="J27" s="29"/>
      <c r="K27" s="29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9">
        <v>2.0</v>
      </c>
      <c r="B28" s="10">
        <v>100.0</v>
      </c>
      <c r="C28" s="11">
        <v>0.028162</v>
      </c>
      <c r="D28" s="11">
        <v>0.014674</v>
      </c>
      <c r="E28" s="35">
        <f t="shared" si="2"/>
        <v>1.919176775</v>
      </c>
      <c r="F28" s="36">
        <v>0.008523</v>
      </c>
      <c r="G28" s="13">
        <f t="shared" si="3"/>
        <v>3.304235598</v>
      </c>
      <c r="H28" s="36">
        <v>0.021566</v>
      </c>
      <c r="I28" s="13">
        <f t="shared" si="4"/>
        <v>1.305851804</v>
      </c>
      <c r="J28" s="29"/>
      <c r="K28" s="29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9">
        <v>3.0</v>
      </c>
      <c r="B29" s="10">
        <v>1000.0</v>
      </c>
      <c r="C29" s="11">
        <v>2.612703</v>
      </c>
      <c r="D29" s="11">
        <v>1.440641</v>
      </c>
      <c r="E29" s="35">
        <f t="shared" si="2"/>
        <v>1.813569793</v>
      </c>
      <c r="F29" s="36">
        <v>1.054359</v>
      </c>
      <c r="G29" s="13">
        <f t="shared" si="3"/>
        <v>2.478001326</v>
      </c>
      <c r="H29" s="36">
        <v>0.695629</v>
      </c>
      <c r="I29" s="13">
        <f t="shared" si="4"/>
        <v>3.75588568</v>
      </c>
      <c r="J29" s="29"/>
      <c r="K29" s="29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9">
        <v>4.0</v>
      </c>
      <c r="B30" s="10">
        <v>2000.0</v>
      </c>
      <c r="C30" s="11">
        <v>10.587954</v>
      </c>
      <c r="D30" s="11">
        <v>5.627046</v>
      </c>
      <c r="E30" s="35">
        <f t="shared" si="2"/>
        <v>1.881618526</v>
      </c>
      <c r="F30" s="36">
        <v>4.284211</v>
      </c>
      <c r="G30" s="13">
        <f t="shared" si="3"/>
        <v>2.471389481</v>
      </c>
      <c r="H30" s="36">
        <v>3.701722</v>
      </c>
      <c r="I30" s="13">
        <f t="shared" si="4"/>
        <v>2.860278</v>
      </c>
      <c r="J30" s="29"/>
      <c r="K30" s="29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9">
        <v>5.0</v>
      </c>
      <c r="B31" s="10">
        <v>3000.0</v>
      </c>
      <c r="C31" s="11">
        <v>23.515061</v>
      </c>
      <c r="D31" s="11">
        <v>15.490709</v>
      </c>
      <c r="E31" s="35">
        <f t="shared" si="2"/>
        <v>1.518010635</v>
      </c>
      <c r="F31" s="36">
        <v>10.450851</v>
      </c>
      <c r="G31" s="13">
        <f t="shared" si="3"/>
        <v>2.250061837</v>
      </c>
      <c r="H31" s="36">
        <v>6.624935</v>
      </c>
      <c r="I31" s="13">
        <f t="shared" si="4"/>
        <v>3.549477995</v>
      </c>
      <c r="J31" s="29"/>
      <c r="K31" s="29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9">
        <v>6.0</v>
      </c>
      <c r="B32" s="10">
        <v>4000.0</v>
      </c>
      <c r="C32" s="11">
        <v>43.590065</v>
      </c>
      <c r="D32" s="11">
        <v>23.592632</v>
      </c>
      <c r="E32" s="35">
        <f t="shared" si="2"/>
        <v>1.847613484</v>
      </c>
      <c r="F32" s="36">
        <v>18.078286</v>
      </c>
      <c r="G32" s="13">
        <f t="shared" si="3"/>
        <v>2.411183505</v>
      </c>
      <c r="H32" s="36" t="s">
        <v>22</v>
      </c>
      <c r="I32" s="13" t="str">
        <f t="shared" si="4"/>
        <v>#VALUE!</v>
      </c>
      <c r="J32" s="29"/>
      <c r="K32" s="29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9">
        <v>7.0</v>
      </c>
      <c r="B33" s="10">
        <v>5000.0</v>
      </c>
      <c r="C33" s="11">
        <v>93.34055</v>
      </c>
      <c r="D33" s="11">
        <v>37.879608</v>
      </c>
      <c r="E33" s="35">
        <f t="shared" si="2"/>
        <v>2.464137168</v>
      </c>
      <c r="F33" s="36">
        <v>27.527405</v>
      </c>
      <c r="G33" s="13">
        <f t="shared" si="3"/>
        <v>3.390822709</v>
      </c>
      <c r="H33" s="36">
        <v>18.430994</v>
      </c>
      <c r="I33" s="13">
        <f t="shared" si="4"/>
        <v>5.064325342</v>
      </c>
      <c r="J33" s="29"/>
      <c r="K33" s="29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9">
        <v>8.0</v>
      </c>
      <c r="B34" s="10">
        <v>6000.0</v>
      </c>
      <c r="C34" s="11">
        <v>124.688744</v>
      </c>
      <c r="D34" s="11">
        <v>54.574851</v>
      </c>
      <c r="E34" s="35">
        <f t="shared" si="2"/>
        <v>2.284728986</v>
      </c>
      <c r="F34" s="36">
        <v>37.907403</v>
      </c>
      <c r="G34" s="13">
        <f t="shared" si="3"/>
        <v>3.289297977</v>
      </c>
      <c r="H34" s="36">
        <v>29.961652</v>
      </c>
      <c r="I34" s="13">
        <f t="shared" si="4"/>
        <v>4.161611115</v>
      </c>
      <c r="J34" s="29"/>
      <c r="K34" s="29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9">
        <v>9.0</v>
      </c>
      <c r="B35" s="10">
        <v>7000.0</v>
      </c>
      <c r="C35" s="11">
        <v>174.175357</v>
      </c>
      <c r="D35" s="11">
        <v>71.398983</v>
      </c>
      <c r="E35" s="35">
        <f t="shared" si="2"/>
        <v>2.439465517</v>
      </c>
      <c r="F35" s="36">
        <v>52.51413</v>
      </c>
      <c r="G35" s="13">
        <f t="shared" si="3"/>
        <v>3.316733173</v>
      </c>
      <c r="H35" s="36">
        <v>40.187348</v>
      </c>
      <c r="I35" s="13">
        <f t="shared" si="4"/>
        <v>4.334084374</v>
      </c>
      <c r="J35" s="29"/>
      <c r="K35" s="29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9">
        <v>10.0</v>
      </c>
      <c r="B36" s="10">
        <v>8000.0</v>
      </c>
      <c r="C36" s="11">
        <v>226.449693</v>
      </c>
      <c r="D36" s="11">
        <v>92.483352</v>
      </c>
      <c r="E36" s="35">
        <f t="shared" si="2"/>
        <v>2.448545474</v>
      </c>
      <c r="F36" s="36">
        <v>66.436806</v>
      </c>
      <c r="G36" s="13">
        <f t="shared" si="3"/>
        <v>3.408497588</v>
      </c>
      <c r="H36" s="36">
        <v>50.903626</v>
      </c>
      <c r="I36" s="13">
        <f t="shared" si="4"/>
        <v>4.448596511</v>
      </c>
      <c r="J36" s="29"/>
      <c r="K36" s="29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9">
        <v>11.0</v>
      </c>
      <c r="B37" s="10">
        <v>9000.0</v>
      </c>
      <c r="C37" s="11">
        <v>292.75172</v>
      </c>
      <c r="D37" s="11">
        <v>124.666826</v>
      </c>
      <c r="E37" s="35">
        <f t="shared" si="2"/>
        <v>2.348272828</v>
      </c>
      <c r="F37" s="36">
        <v>82.594103</v>
      </c>
      <c r="G37" s="13">
        <f t="shared" si="3"/>
        <v>3.544462732</v>
      </c>
      <c r="H37" s="36">
        <v>65.316336</v>
      </c>
      <c r="I37" s="13">
        <f t="shared" si="4"/>
        <v>4.482059741</v>
      </c>
      <c r="J37" s="29"/>
      <c r="K37" s="29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9">
        <v>12.0</v>
      </c>
      <c r="B38" s="10">
        <v>10000.0</v>
      </c>
      <c r="C38" s="11">
        <v>336.209984</v>
      </c>
      <c r="D38" s="11">
        <v>164.008546</v>
      </c>
      <c r="E38" s="35">
        <f t="shared" si="2"/>
        <v>2.049954055</v>
      </c>
      <c r="F38" s="36">
        <v>113.13105</v>
      </c>
      <c r="G38" s="13">
        <f t="shared" si="3"/>
        <v>2.971863021</v>
      </c>
      <c r="H38" s="36">
        <v>88.187839</v>
      </c>
      <c r="I38" s="13">
        <f t="shared" si="4"/>
        <v>3.812430238</v>
      </c>
      <c r="J38" s="29"/>
      <c r="K38" s="29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1">
    <mergeCell ref="C24:C26"/>
    <mergeCell ref="D25:E25"/>
    <mergeCell ref="F25:G25"/>
    <mergeCell ref="H25:I25"/>
    <mergeCell ref="B1:F1"/>
    <mergeCell ref="B4:F4"/>
    <mergeCell ref="B16:G16"/>
    <mergeCell ref="B18:G18"/>
    <mergeCell ref="A24:A26"/>
    <mergeCell ref="B24:B26"/>
    <mergeCell ref="D24:I24"/>
  </mergeCells>
  <drawing r:id="rId1"/>
</worksheet>
</file>