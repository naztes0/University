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<sst xmlns="http://schemas.openxmlformats.org/spreadsheetml/2006/main" count="36" uniqueCount="17">
  <si>
    <t>Lab 5</t>
  </si>
  <si>
    <t>Sequence execution</t>
  </si>
  <si>
    <t>Test number</t>
  </si>
  <si>
    <t>The Number of Vertices in the Graph</t>
  </si>
  <si>
    <t>Execution time (sec)</t>
  </si>
  <si>
    <t>Theoretical time (sec)</t>
  </si>
  <si>
    <t>Parallel execution</t>
  </si>
  <si>
    <t>Execution Times on PC</t>
  </si>
  <si>
    <t>Serial Floyd</t>
  </si>
  <si>
    <t>Parallel algorithm</t>
  </si>
  <si>
    <t>2 processsors</t>
  </si>
  <si>
    <t>4 processors</t>
  </si>
  <si>
    <t>4 processsors</t>
  </si>
  <si>
    <t xml:space="preserve">Speed Up </t>
  </si>
  <si>
    <t>Execution Times on Cluster</t>
  </si>
  <si>
    <t>8 processors</t>
  </si>
  <si>
    <t>8 processsors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</si>
</sst>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000"/>
    <numFmt numFmtId="165" formatCode="0.0000000"/>
    <numFmt numFmtId="166" formatCode="#,##0.00000"/>
    <numFmt numFmtId="167" formatCode="0.000000"/>
    <numFmt numFmtId="168" formatCode="0.0000"/>
    <numFmt numFmtId="169" formatCode="0.000"/>
  </numFmts>
  <fonts count="9">
    <font>
      <sz val="10.0"/>
      <color rgb="FF000000"/>
      <name val="Arial"/>
      <scheme val="minor"/>
    </font>
    <font>
      <color theme="1"/>
      <name val="Arial"/>
    </font>
    <font>
      <sz val="20.0"/>
      <color theme="1"/>
      <name val="Arial"/>
    </font>
    <font>
      <sz val="15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sz val="16.0"/>
      <color theme="1"/>
      <name val="Arial"/>
    </font>
    <font/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vertical="center"/>
    </xf>
    <xf borderId="1" fillId="0" fontId="4" numFmtId="3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horizontal="center" vertical="center"/>
    </xf>
    <xf borderId="1" fillId="0" fontId="4" numFmtId="3" xfId="0" applyAlignment="1" applyBorder="1" applyFont="1" applyNumberFormat="1">
      <alignment horizontal="center" readingOrder="0" vertical="center"/>
    </xf>
    <xf borderId="1" fillId="0" fontId="4" numFmtId="166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6" fontId="7" numFmtId="0" xfId="0" applyAlignment="1" applyFill="1" applyFont="1">
      <alignment horizontal="center" vertical="center"/>
    </xf>
    <xf borderId="0" fillId="7" fontId="3" numFmtId="0" xfId="0" applyAlignment="1" applyFill="1" applyFont="1">
      <alignment horizontal="center" vertical="center"/>
    </xf>
    <xf borderId="2" fillId="4" fontId="4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3" fillId="8" fontId="4" numFmtId="0" xfId="0" applyAlignment="1" applyBorder="1" applyFill="1" applyFont="1">
      <alignment horizontal="center" vertical="center"/>
    </xf>
    <xf borderId="4" fillId="0" fontId="8" numFmtId="0" xfId="0" applyBorder="1" applyFont="1"/>
    <xf borderId="5" fillId="0" fontId="8" numFmtId="0" xfId="0" applyBorder="1" applyFont="1"/>
    <xf borderId="2" fillId="6" fontId="4" numFmtId="0" xfId="0" applyAlignment="1" applyBorder="1" applyFont="1">
      <alignment horizontal="center" vertical="center"/>
    </xf>
    <xf borderId="6" fillId="0" fontId="8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4" numFmtId="167" xfId="0" applyAlignment="1" applyBorder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7" fillId="0" fontId="8" numFmtId="0" xfId="0" applyBorder="1" applyFont="1"/>
    <xf borderId="3" fillId="6" fontId="4" numFmtId="0" xfId="0" applyAlignment="1" applyBorder="1" applyFont="1">
      <alignment horizontal="center" vertical="center"/>
    </xf>
    <xf borderId="3" fillId="4" fontId="4" numFmtId="0" xfId="0" applyAlignment="1" applyBorder="1" applyFont="1">
      <alignment horizontal="center" readingOrder="0" shrinkToFit="0" vertical="center" wrapText="1"/>
    </xf>
    <xf borderId="3" fillId="0" fontId="4" numFmtId="168" xfId="0" applyAlignment="1" applyBorder="1" applyFont="1" applyNumberFormat="1">
      <alignment horizontal="center" vertical="center"/>
    </xf>
    <xf borderId="3" fillId="0" fontId="4" numFmtId="169" xfId="0" applyAlignment="1" applyBorder="1" applyFont="1" applyNumberFormat="1">
      <alignment horizontal="center" vertical="center"/>
    </xf>
    <xf borderId="0" fillId="9" fontId="3" numFmtId="0" xfId="0" applyAlignment="1" applyFill="1" applyFont="1">
      <alignment horizontal="center" vertical="center"/>
    </xf>
    <xf borderId="2" fillId="4" fontId="4" numFmtId="0" xfId="0" applyAlignment="1" applyBorder="1" applyFont="1">
      <alignment horizontal="center" readingOrder="0" vertical="center"/>
    </xf>
    <xf borderId="1" fillId="0" fontId="4" numFmtId="165" xfId="0" applyAlignment="1" applyBorder="1" applyFont="1" applyNumberFormat="1">
      <alignment horizontal="center" readingOrder="0" vertical="center"/>
    </xf>
    <xf borderId="3" fillId="6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962025</xdr:colOff>
      <xdr:row>5</xdr:row>
      <xdr:rowOff>200025</xdr:rowOff>
    </xdr:from>
    <xdr:ext cx="1552575" cy="581025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2.38"/>
    <col customWidth="1" min="3" max="3" width="16.0"/>
    <col customWidth="1" min="4" max="5" width="16.38"/>
    <col customWidth="1" min="6" max="6" width="14.5"/>
    <col customWidth="1" min="8" max="8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2</v>
      </c>
      <c r="B7" s="5" t="s">
        <v>3</v>
      </c>
      <c r="C7" s="4" t="s">
        <v>4</v>
      </c>
      <c r="D7" s="4" t="s">
        <v>5</v>
      </c>
      <c r="E7" s="1"/>
      <c r="F7" s="1"/>
      <c r="G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>
        <v>1.0</v>
      </c>
      <c r="B8" s="7">
        <v>10.0</v>
      </c>
      <c r="C8" s="8">
        <v>2.2E-5</v>
      </c>
      <c r="D8" s="9">
        <f t="shared" ref="D8:D14" si="1">B8^3*($C$12/$B$12^3)</f>
        <v>0.000007840832031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>
        <v>2.0</v>
      </c>
      <c r="B9" s="10">
        <v>500.0</v>
      </c>
      <c r="C9" s="8">
        <v>1.125739</v>
      </c>
      <c r="D9" s="9">
        <f t="shared" si="1"/>
        <v>0.9801040039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>
        <v>3.0</v>
      </c>
      <c r="B10" s="10">
        <v>600.0</v>
      </c>
      <c r="C10" s="8">
        <v>1.780089</v>
      </c>
      <c r="D10" s="9">
        <f t="shared" si="1"/>
        <v>1.693619719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>
        <v>4.0</v>
      </c>
      <c r="B11" s="10">
        <v>700.0</v>
      </c>
      <c r="C11" s="8">
        <v>2.785427</v>
      </c>
      <c r="D11" s="9">
        <f t="shared" si="1"/>
        <v>2.689405387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">
        <v>5.0</v>
      </c>
      <c r="B12" s="10">
        <v>800.0</v>
      </c>
      <c r="C12" s="8">
        <v>4.014506</v>
      </c>
      <c r="D12" s="9">
        <f t="shared" si="1"/>
        <v>4.014506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">
        <v>6.0</v>
      </c>
      <c r="B13" s="10">
        <v>900.0</v>
      </c>
      <c r="C13" s="8">
        <v>5.710108</v>
      </c>
      <c r="D13" s="9">
        <f t="shared" si="1"/>
        <v>5.715966551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>
        <v>7.0</v>
      </c>
      <c r="B14" s="10">
        <v>1000.0</v>
      </c>
      <c r="C14" s="11">
        <v>8.030958</v>
      </c>
      <c r="D14" s="9">
        <f t="shared" si="1"/>
        <v>7.840832031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"/>
      <c r="B17" s="13" t="s">
        <v>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4" t="s">
        <v>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5" t="s">
        <v>2</v>
      </c>
      <c r="B23" s="16" t="s">
        <v>3</v>
      </c>
      <c r="C23" s="16" t="s">
        <v>8</v>
      </c>
      <c r="D23" s="17" t="s">
        <v>9</v>
      </c>
      <c r="E23" s="1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9"/>
      <c r="B24" s="19"/>
      <c r="C24" s="19"/>
      <c r="D24" s="20" t="s">
        <v>10</v>
      </c>
      <c r="E24" s="20" t="s">
        <v>11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1"/>
      <c r="B25" s="21"/>
      <c r="C25" s="21"/>
      <c r="D25" s="21"/>
      <c r="E25" s="2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">
        <v>1.0</v>
      </c>
      <c r="B26" s="7">
        <v>10.0</v>
      </c>
      <c r="C26" s="8">
        <v>2.2E-5</v>
      </c>
      <c r="D26" s="22">
        <v>3.1E-5</v>
      </c>
      <c r="E26" s="23">
        <v>1.28E-4</v>
      </c>
      <c r="F26" s="1"/>
      <c r="G26" s="2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">
        <v>2.0</v>
      </c>
      <c r="B27" s="10">
        <v>500.0</v>
      </c>
      <c r="C27" s="8">
        <v>1.125739</v>
      </c>
      <c r="D27" s="22">
        <v>0.583724</v>
      </c>
      <c r="E27" s="23">
        <v>0.502482</v>
      </c>
      <c r="F27" s="1"/>
      <c r="G27" s="2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">
        <v>3.0</v>
      </c>
      <c r="B28" s="10">
        <v>600.0</v>
      </c>
      <c r="C28" s="8">
        <v>1.780089</v>
      </c>
      <c r="D28" s="22">
        <v>1.139367</v>
      </c>
      <c r="E28" s="23">
        <v>0.86651</v>
      </c>
      <c r="F28" s="1"/>
      <c r="G28" s="2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">
        <v>4.0</v>
      </c>
      <c r="B29" s="10">
        <v>700.0</v>
      </c>
      <c r="C29" s="8">
        <v>2.785427</v>
      </c>
      <c r="D29" s="22">
        <v>1.582397</v>
      </c>
      <c r="E29" s="23">
        <v>1.549753</v>
      </c>
      <c r="F29" s="1"/>
      <c r="G29" s="2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">
        <v>5.0</v>
      </c>
      <c r="B30" s="10">
        <v>800.0</v>
      </c>
      <c r="C30" s="8">
        <v>4.014506</v>
      </c>
      <c r="D30" s="22">
        <v>2.359309</v>
      </c>
      <c r="E30" s="23">
        <v>2.122656</v>
      </c>
      <c r="F30" s="1"/>
      <c r="G30" s="2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6">
        <v>6.0</v>
      </c>
      <c r="B31" s="10">
        <v>900.0</v>
      </c>
      <c r="C31" s="8">
        <v>5.710108</v>
      </c>
      <c r="D31" s="22">
        <v>3.432278</v>
      </c>
      <c r="E31" s="23">
        <v>3.371002</v>
      </c>
      <c r="F31" s="1"/>
      <c r="G31" s="2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6">
        <v>7.0</v>
      </c>
      <c r="B32" s="10">
        <v>1000.0</v>
      </c>
      <c r="C32" s="11">
        <v>8.030958</v>
      </c>
      <c r="D32" s="22">
        <v>4.500101</v>
      </c>
      <c r="E32" s="23">
        <v>4.018363</v>
      </c>
      <c r="F32" s="1"/>
      <c r="G32" s="2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5" t="s">
        <v>2</v>
      </c>
      <c r="B35" s="17" t="s">
        <v>9</v>
      </c>
      <c r="C35" s="25"/>
      <c r="D35" s="25"/>
      <c r="E35" s="1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9"/>
      <c r="B36" s="26" t="s">
        <v>10</v>
      </c>
      <c r="C36" s="18"/>
      <c r="D36" s="26" t="s">
        <v>12</v>
      </c>
      <c r="E36" s="1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1"/>
      <c r="B37" s="27" t="s">
        <v>13</v>
      </c>
      <c r="C37" s="18"/>
      <c r="D37" s="27" t="s">
        <v>13</v>
      </c>
      <c r="E37" s="1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">
        <v>1.0</v>
      </c>
      <c r="B38" s="28">
        <f t="shared" ref="B38:B44" si="2">C26/D26</f>
        <v>0.7096774194</v>
      </c>
      <c r="C38" s="18"/>
      <c r="D38" s="29">
        <f t="shared" ref="D38:D44" si="3">C26/E26</f>
        <v>0.171875</v>
      </c>
      <c r="E38" s="1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6">
        <v>2.0</v>
      </c>
      <c r="B39" s="28">
        <f t="shared" si="2"/>
        <v>1.92854671</v>
      </c>
      <c r="C39" s="18"/>
      <c r="D39" s="29">
        <f t="shared" si="3"/>
        <v>2.240356869</v>
      </c>
      <c r="E39" s="1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6">
        <v>3.0</v>
      </c>
      <c r="B40" s="28">
        <f t="shared" si="2"/>
        <v>1.562349094</v>
      </c>
      <c r="C40" s="18"/>
      <c r="D40" s="29">
        <f t="shared" si="3"/>
        <v>2.054320204</v>
      </c>
      <c r="E40" s="1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6">
        <v>4.0</v>
      </c>
      <c r="B41" s="28">
        <f t="shared" si="2"/>
        <v>1.760258014</v>
      </c>
      <c r="C41" s="18"/>
      <c r="D41" s="29">
        <f t="shared" si="3"/>
        <v>1.797336092</v>
      </c>
      <c r="E41" s="1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6">
        <v>5.0</v>
      </c>
      <c r="B42" s="28">
        <f t="shared" si="2"/>
        <v>1.701560075</v>
      </c>
      <c r="C42" s="18"/>
      <c r="D42" s="29">
        <f t="shared" si="3"/>
        <v>1.891265471</v>
      </c>
      <c r="E42" s="1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6">
        <v>6.0</v>
      </c>
      <c r="B43" s="28">
        <f t="shared" si="2"/>
        <v>1.663649623</v>
      </c>
      <c r="C43" s="18"/>
      <c r="D43" s="29">
        <f t="shared" si="3"/>
        <v>1.693890422</v>
      </c>
      <c r="E43" s="1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6">
        <v>7.0</v>
      </c>
      <c r="B44" s="28">
        <f t="shared" si="2"/>
        <v>1.784617279</v>
      </c>
      <c r="C44" s="18"/>
      <c r="D44" s="29">
        <f t="shared" si="3"/>
        <v>1.99856459</v>
      </c>
      <c r="E44" s="1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"/>
      <c r="B47" s="30" t="s">
        <v>14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5" t="s">
        <v>2</v>
      </c>
      <c r="B50" s="16" t="s">
        <v>3</v>
      </c>
      <c r="C50" s="31" t="s">
        <v>8</v>
      </c>
      <c r="D50" s="17" t="s">
        <v>9</v>
      </c>
      <c r="E50" s="25"/>
      <c r="F50" s="1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9"/>
      <c r="B51" s="19"/>
      <c r="C51" s="19"/>
      <c r="D51" s="20" t="s">
        <v>10</v>
      </c>
      <c r="E51" s="20" t="s">
        <v>11</v>
      </c>
      <c r="F51" s="20" t="s">
        <v>15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1"/>
      <c r="B52" s="21"/>
      <c r="C52" s="21"/>
      <c r="D52" s="21"/>
      <c r="E52" s="21"/>
      <c r="F52" s="2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6">
        <v>1.0</v>
      </c>
      <c r="B53" s="7">
        <v>10.0</v>
      </c>
      <c r="C53" s="8">
        <v>1.3E-5</v>
      </c>
      <c r="D53" s="22">
        <v>1.4E-4</v>
      </c>
      <c r="E53" s="32">
        <v>0.13035</v>
      </c>
      <c r="F53" s="32">
        <v>0.043886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6">
        <v>2.0</v>
      </c>
      <c r="B54" s="10">
        <v>500.0</v>
      </c>
      <c r="C54" s="8">
        <v>1.006143</v>
      </c>
      <c r="D54" s="22">
        <v>0.848325</v>
      </c>
      <c r="E54" s="32">
        <v>1.239498</v>
      </c>
      <c r="F54" s="32">
        <v>0.217067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6">
        <v>3.0</v>
      </c>
      <c r="B55" s="10">
        <v>600.0</v>
      </c>
      <c r="C55" s="8">
        <v>1.713553</v>
      </c>
      <c r="D55" s="22">
        <v>1.46115</v>
      </c>
      <c r="E55" s="32">
        <v>0.735828</v>
      </c>
      <c r="F55" s="32">
        <v>0.372875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6">
        <v>4.0</v>
      </c>
      <c r="B56" s="10">
        <v>700.0</v>
      </c>
      <c r="C56" s="8">
        <v>2.712177</v>
      </c>
      <c r="D56" s="22">
        <v>2.311823</v>
      </c>
      <c r="E56" s="32">
        <v>1.163929</v>
      </c>
      <c r="F56" s="32">
        <v>0.589356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6">
        <v>5.0</v>
      </c>
      <c r="B57" s="10">
        <v>800.0</v>
      </c>
      <c r="C57" s="8">
        <v>4.029015</v>
      </c>
      <c r="D57" s="22">
        <v>3.447599</v>
      </c>
      <c r="E57" s="32">
        <v>1.733488</v>
      </c>
      <c r="F57" s="32">
        <v>0.875121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6">
        <v>6.0</v>
      </c>
      <c r="B58" s="10">
        <v>900.0</v>
      </c>
      <c r="C58" s="8">
        <v>5.720393</v>
      </c>
      <c r="D58" s="22">
        <v>4.907834</v>
      </c>
      <c r="E58" s="32">
        <v>2.467766</v>
      </c>
      <c r="F58" s="32">
        <v>1.245631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6">
        <v>7.0</v>
      </c>
      <c r="B59" s="10">
        <v>1000.0</v>
      </c>
      <c r="C59" s="11">
        <v>7.817932</v>
      </c>
      <c r="D59" s="22">
        <v>6.730288</v>
      </c>
      <c r="E59" s="32">
        <v>3.379962</v>
      </c>
      <c r="F59" s="32">
        <v>1.700243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5" t="s">
        <v>2</v>
      </c>
      <c r="B62" s="17" t="s">
        <v>9</v>
      </c>
      <c r="C62" s="25"/>
      <c r="D62" s="25"/>
      <c r="E62" s="25"/>
      <c r="F62" s="25"/>
      <c r="G62" s="1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9"/>
      <c r="B63" s="26" t="s">
        <v>10</v>
      </c>
      <c r="C63" s="18"/>
      <c r="D63" s="26" t="s">
        <v>12</v>
      </c>
      <c r="E63" s="18"/>
      <c r="F63" s="33" t="s">
        <v>16</v>
      </c>
      <c r="G63" s="1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1"/>
      <c r="B64" s="27" t="s">
        <v>13</v>
      </c>
      <c r="C64" s="18"/>
      <c r="D64" s="27" t="s">
        <v>13</v>
      </c>
      <c r="E64" s="18"/>
      <c r="F64" s="27" t="s">
        <v>13</v>
      </c>
      <c r="G64" s="1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6">
        <v>1.0</v>
      </c>
      <c r="B65" s="28">
        <f t="shared" ref="B65:B71" si="4">C53/D53</f>
        <v>0.09285714286</v>
      </c>
      <c r="C65" s="18"/>
      <c r="D65" s="28">
        <f t="shared" ref="D65:D71" si="5">C53/E53</f>
        <v>0.00009973149214</v>
      </c>
      <c r="E65" s="18"/>
      <c r="F65" s="29">
        <f t="shared" ref="F65:F71" si="6">C53/F53</f>
        <v>0.0002962220298</v>
      </c>
      <c r="G65" s="1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6">
        <v>2.0</v>
      </c>
      <c r="B66" s="28">
        <f t="shared" si="4"/>
        <v>1.186034833</v>
      </c>
      <c r="C66" s="18"/>
      <c r="D66" s="29">
        <f t="shared" si="5"/>
        <v>0.8117342666</v>
      </c>
      <c r="E66" s="18"/>
      <c r="F66" s="29">
        <f t="shared" si="6"/>
        <v>4.63517255</v>
      </c>
      <c r="G66" s="1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6">
        <v>3.0</v>
      </c>
      <c r="B67" s="28">
        <f t="shared" si="4"/>
        <v>1.172742703</v>
      </c>
      <c r="C67" s="18"/>
      <c r="D67" s="29">
        <f t="shared" si="5"/>
        <v>2.328741228</v>
      </c>
      <c r="E67" s="18"/>
      <c r="F67" s="29">
        <f t="shared" si="6"/>
        <v>4.595515924</v>
      </c>
      <c r="G67" s="1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6">
        <v>4.0</v>
      </c>
      <c r="B68" s="28">
        <f t="shared" si="4"/>
        <v>1.173176753</v>
      </c>
      <c r="C68" s="18"/>
      <c r="D68" s="29">
        <f t="shared" si="5"/>
        <v>2.330191103</v>
      </c>
      <c r="E68" s="18"/>
      <c r="F68" s="29">
        <f t="shared" si="6"/>
        <v>4.601933297</v>
      </c>
      <c r="G68" s="1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6">
        <v>5.0</v>
      </c>
      <c r="B69" s="28">
        <f t="shared" si="4"/>
        <v>1.168643743</v>
      </c>
      <c r="C69" s="18"/>
      <c r="D69" s="29">
        <f t="shared" si="5"/>
        <v>2.324224338</v>
      </c>
      <c r="E69" s="18"/>
      <c r="F69" s="29">
        <f t="shared" si="6"/>
        <v>4.603951911</v>
      </c>
      <c r="G69" s="1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6">
        <v>6.0</v>
      </c>
      <c r="B70" s="28">
        <f t="shared" si="4"/>
        <v>1.165563668</v>
      </c>
      <c r="C70" s="18"/>
      <c r="D70" s="29">
        <f t="shared" si="5"/>
        <v>2.318045147</v>
      </c>
      <c r="E70" s="18"/>
      <c r="F70" s="29">
        <f t="shared" si="6"/>
        <v>4.592365636</v>
      </c>
      <c r="G70" s="1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6">
        <v>7.0</v>
      </c>
      <c r="B71" s="28">
        <f t="shared" si="4"/>
        <v>1.161604377</v>
      </c>
      <c r="C71" s="18"/>
      <c r="D71" s="29">
        <f t="shared" si="5"/>
        <v>2.313023638</v>
      </c>
      <c r="E71" s="18"/>
      <c r="F71" s="29">
        <f t="shared" si="6"/>
        <v>4.598126268</v>
      </c>
      <c r="G71" s="1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</sheetData>
  <mergeCells count="68">
    <mergeCell ref="A62:A64"/>
    <mergeCell ref="B62:G62"/>
    <mergeCell ref="B63:C63"/>
    <mergeCell ref="D63:E63"/>
    <mergeCell ref="F63:G63"/>
    <mergeCell ref="D64:E64"/>
    <mergeCell ref="F64:G64"/>
    <mergeCell ref="B64:C64"/>
    <mergeCell ref="B65:C65"/>
    <mergeCell ref="D65:E65"/>
    <mergeCell ref="F65:G65"/>
    <mergeCell ref="B66:C66"/>
    <mergeCell ref="D66:E66"/>
    <mergeCell ref="F66:G66"/>
    <mergeCell ref="B2:F2"/>
    <mergeCell ref="B5:F5"/>
    <mergeCell ref="G7:H7"/>
    <mergeCell ref="B17:G17"/>
    <mergeCell ref="B19:G19"/>
    <mergeCell ref="A23:A25"/>
    <mergeCell ref="B23:B25"/>
    <mergeCell ref="D37:E37"/>
    <mergeCell ref="D38:E38"/>
    <mergeCell ref="D39:E39"/>
    <mergeCell ref="D40:E40"/>
    <mergeCell ref="D41:E41"/>
    <mergeCell ref="D42:E42"/>
    <mergeCell ref="D43:E43"/>
    <mergeCell ref="D44:E44"/>
    <mergeCell ref="C23:C25"/>
    <mergeCell ref="D23:E23"/>
    <mergeCell ref="D24:D25"/>
    <mergeCell ref="E24:E25"/>
    <mergeCell ref="A35:A37"/>
    <mergeCell ref="B35:E35"/>
    <mergeCell ref="D36:E36"/>
    <mergeCell ref="B43:C43"/>
    <mergeCell ref="B44:C44"/>
    <mergeCell ref="B47:G47"/>
    <mergeCell ref="B36:C36"/>
    <mergeCell ref="B37:C37"/>
    <mergeCell ref="B38:C38"/>
    <mergeCell ref="B39:C39"/>
    <mergeCell ref="B40:C40"/>
    <mergeCell ref="B41:C41"/>
    <mergeCell ref="B42:C42"/>
    <mergeCell ref="A50:A52"/>
    <mergeCell ref="B50:B52"/>
    <mergeCell ref="C50:C52"/>
    <mergeCell ref="D50:F50"/>
    <mergeCell ref="D51:D52"/>
    <mergeCell ref="E51:E52"/>
    <mergeCell ref="F51:F52"/>
    <mergeCell ref="F70:G70"/>
    <mergeCell ref="F71:G71"/>
    <mergeCell ref="B70:C70"/>
    <mergeCell ref="B71:C71"/>
    <mergeCell ref="D70:E70"/>
    <mergeCell ref="D71:E71"/>
    <mergeCell ref="F67:G67"/>
    <mergeCell ref="F68:G68"/>
    <mergeCell ref="F69:G69"/>
    <mergeCell ref="B67:C67"/>
    <mergeCell ref="B68:C68"/>
    <mergeCell ref="B69:C69"/>
    <mergeCell ref="D67:E67"/>
    <mergeCell ref="D68:E68"/>
    <mergeCell ref="D69:E69"/>
  </mergeCells>
  <drawing r:id="rId1"/>
</worksheet>
</file>