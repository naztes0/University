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SUS TUF\GitRepos\University\sem5\DistributedComputing\lab4\"/>
    </mc:Choice>
  </mc:AlternateContent>
  <xr:revisionPtr revIDLastSave="0" documentId="13_ncr:1_{002A8482-528C-4807-99F3-53E3D5EAC4DD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9" i="1" l="1"/>
  <c r="F79" i="1"/>
  <c r="E79" i="1"/>
  <c r="D79" i="1"/>
  <c r="C79" i="1"/>
  <c r="B79" i="1"/>
  <c r="G78" i="1"/>
  <c r="F78" i="1"/>
  <c r="E78" i="1"/>
  <c r="D78" i="1"/>
  <c r="C78" i="1"/>
  <c r="B78" i="1"/>
  <c r="G77" i="1"/>
  <c r="F77" i="1"/>
  <c r="E77" i="1"/>
  <c r="D77" i="1"/>
  <c r="C77" i="1"/>
  <c r="B77" i="1"/>
  <c r="G76" i="1"/>
  <c r="F76" i="1"/>
  <c r="E76" i="1"/>
  <c r="D76" i="1"/>
  <c r="C76" i="1"/>
  <c r="B76" i="1"/>
  <c r="G75" i="1"/>
  <c r="F75" i="1"/>
  <c r="E75" i="1"/>
  <c r="D75" i="1"/>
  <c r="C75" i="1"/>
  <c r="B75" i="1"/>
  <c r="G74" i="1"/>
  <c r="F74" i="1"/>
  <c r="E74" i="1"/>
  <c r="D74" i="1"/>
  <c r="C74" i="1"/>
  <c r="B74" i="1"/>
  <c r="G73" i="1"/>
  <c r="F73" i="1"/>
  <c r="E73" i="1"/>
  <c r="D73" i="1"/>
  <c r="C73" i="1"/>
  <c r="B73" i="1"/>
  <c r="E54" i="1"/>
  <c r="D54" i="1"/>
  <c r="C54" i="1"/>
  <c r="B54" i="1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I15" i="1"/>
  <c r="I14" i="1"/>
  <c r="I13" i="1"/>
  <c r="I12" i="1"/>
  <c r="I11" i="1"/>
  <c r="I10" i="1"/>
  <c r="I9" i="1"/>
</calcChain>
</file>

<file path=xl/sharedStrings.xml><?xml version="1.0" encoding="utf-8"?>
<sst xmlns="http://schemas.openxmlformats.org/spreadsheetml/2006/main" count="57" uniqueCount="32">
  <si>
    <t>Sequence execution</t>
  </si>
  <si>
    <t>Table 1</t>
  </si>
  <si>
    <t>Comparison of bubble sort algorithm, and sorting alg from library</t>
  </si>
  <si>
    <t>Table 2</t>
  </si>
  <si>
    <t>Comparison execution time of bubble sort alg and theoretical exec time</t>
  </si>
  <si>
    <t>Test number</t>
  </si>
  <si>
    <t>Data Size</t>
  </si>
  <si>
    <t>Execution time (sec)</t>
  </si>
  <si>
    <t>Exuction time (library sorting)
(sec)</t>
  </si>
  <si>
    <t>Theoretical execution time
(sec)</t>
  </si>
  <si>
    <t>Parallel execution</t>
  </si>
  <si>
    <t>Execution Times on PC</t>
  </si>
  <si>
    <t>Table 3</t>
  </si>
  <si>
    <t xml:space="preserve">Adding parallel algorithm results on different number of procesossors </t>
  </si>
  <si>
    <t>Matrix Size</t>
  </si>
  <si>
    <t>Serial bubble sorting</t>
  </si>
  <si>
    <t>Serial standard sorting</t>
  </si>
  <si>
    <t>Parallel algorithm</t>
  </si>
  <si>
    <t>2 processsors</t>
  </si>
  <si>
    <t>4 processors</t>
  </si>
  <si>
    <t>Table 4</t>
  </si>
  <si>
    <t>Parallel algorithm speed ups</t>
  </si>
  <si>
    <t>Speed Up 1</t>
  </si>
  <si>
    <t>own algorithm</t>
  </si>
  <si>
    <t>Speed Up 2</t>
  </si>
  <si>
    <t>lib algorithm</t>
  </si>
  <si>
    <t>4 processsors</t>
  </si>
  <si>
    <t>Execution Times on Cluster</t>
  </si>
  <si>
    <t>Serial algorithm</t>
  </si>
  <si>
    <t>8 processors</t>
  </si>
  <si>
    <t>8 processsors</t>
  </si>
  <si>
    <t>Lab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</si>
</sst>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00"/>
    <numFmt numFmtId="165" formatCode="0.000000"/>
    <numFmt numFmtId="166" formatCode="0.0000000"/>
    <numFmt numFmtId="167" formatCode="#,##0.00000"/>
    <numFmt numFmtId="168" formatCode="0.0000"/>
  </numFmts>
  <fonts count="11" x14ac:knownFonts="1">
    <font>
      <sz val="10"/>
      <color rgb="FF000000"/>
      <name val="Arial"/>
      <scheme val="minor"/>
    </font>
    <font>
      <sz val="10"/>
      <color theme="1"/>
      <name val="Arial"/>
    </font>
    <font>
      <sz val="20"/>
      <color theme="1"/>
      <name val="Arial"/>
    </font>
    <font>
      <sz val="15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sz val="16"/>
      <color theme="1"/>
      <name val="Arial"/>
    </font>
    <font>
      <sz val="10"/>
      <name val="Arial"/>
    </font>
    <font>
      <sz val="10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9" fillId="0" borderId="4" xfId="0" applyFont="1" applyBorder="1"/>
    <xf numFmtId="0" fontId="1" fillId="4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9" fillId="0" borderId="6" xfId="0" applyFont="1" applyBorder="1"/>
    <xf numFmtId="0" fontId="6" fillId="5" borderId="2" xfId="0" applyFont="1" applyFill="1" applyBorder="1" applyAlignment="1">
      <alignment horizontal="center" vertical="center"/>
    </xf>
    <xf numFmtId="0" fontId="9" fillId="0" borderId="5" xfId="0" applyFont="1" applyBorder="1"/>
    <xf numFmtId="0" fontId="4" fillId="9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/>
    </xf>
    <xf numFmtId="0" fontId="9" fillId="0" borderId="7" xfId="0" applyFont="1" applyBorder="1"/>
    <xf numFmtId="0" fontId="3" fillId="10" borderId="0" xfId="0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962025</xdr:colOff>
      <xdr:row>6</xdr:row>
      <xdr:rowOff>200025</xdr:rowOff>
    </xdr:from>
    <xdr:ext cx="2867025" cy="37147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7"/>
  <sheetViews>
    <sheetView tabSelected="1" workbookViewId="0">
      <selection activeCell="B1" sqref="B1:F1"/>
    </sheetView>
  </sheetViews>
  <sheetFormatPr defaultColWidth="12.6640625" defaultRowHeight="15.75" customHeight="1" x14ac:dyDescent="0.25"/>
  <cols>
    <col min="1" max="1" width="11.21875" customWidth="1"/>
    <col min="2" max="4" width="17.33203125" customWidth="1"/>
    <col min="5" max="5" width="14.44140625" customWidth="1"/>
    <col min="6" max="6" width="14.88671875" customWidth="1"/>
    <col min="8" max="8" width="13.77734375" customWidth="1"/>
    <col min="9" max="9" width="20.6640625" customWidth="1"/>
  </cols>
  <sheetData>
    <row r="1" spans="1:26" x14ac:dyDescent="0.25">
      <c r="A1" s="1"/>
      <c r="B1" s="18" t="s">
        <v>31</v>
      </c>
      <c r="C1" s="19"/>
      <c r="D1" s="19"/>
      <c r="E1" s="19"/>
      <c r="F1" s="1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20" t="s">
        <v>0</v>
      </c>
      <c r="C4" s="19"/>
      <c r="D4" s="19"/>
      <c r="E4" s="19"/>
      <c r="F4" s="19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2" t="s">
        <v>1</v>
      </c>
      <c r="B6" s="21" t="s">
        <v>2</v>
      </c>
      <c r="C6" s="19"/>
      <c r="D6" s="19"/>
      <c r="E6" s="1"/>
      <c r="F6" s="2" t="s">
        <v>3</v>
      </c>
      <c r="G6" s="21" t="s">
        <v>4</v>
      </c>
      <c r="H6" s="19"/>
      <c r="I6" s="19"/>
      <c r="J6" s="1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3" t="s">
        <v>5</v>
      </c>
      <c r="B8" s="3" t="s">
        <v>6</v>
      </c>
      <c r="C8" s="4" t="s">
        <v>7</v>
      </c>
      <c r="D8" s="4" t="s">
        <v>8</v>
      </c>
      <c r="E8" s="1"/>
      <c r="F8" s="3" t="s">
        <v>5</v>
      </c>
      <c r="G8" s="3" t="s">
        <v>6</v>
      </c>
      <c r="H8" s="4" t="s">
        <v>7</v>
      </c>
      <c r="I8" s="4" t="s">
        <v>9</v>
      </c>
      <c r="J8" s="1"/>
      <c r="K8" s="22"/>
      <c r="L8" s="19"/>
      <c r="M8" s="19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5">
        <v>1</v>
      </c>
      <c r="B9" s="6">
        <v>10</v>
      </c>
      <c r="C9" s="7">
        <v>9.9999999999999995E-7</v>
      </c>
      <c r="D9" s="8">
        <v>9.9999999999999995E-7</v>
      </c>
      <c r="E9" s="1"/>
      <c r="F9" s="5">
        <v>1</v>
      </c>
      <c r="G9" s="6">
        <v>10</v>
      </c>
      <c r="H9" s="7">
        <v>9.9999999999999995E-7</v>
      </c>
      <c r="I9" s="9">
        <f t="shared" ref="I9:I15" si="0">(G9*(G9-1)/2)*($H$13/($G$13*($G$13-1)/2))</f>
        <v>2.524695156505217E-7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5">
        <v>2</v>
      </c>
      <c r="B10" s="6">
        <v>100</v>
      </c>
      <c r="C10" s="7">
        <v>2.1999999999999999E-5</v>
      </c>
      <c r="D10" s="8">
        <v>7.9999999999999996E-6</v>
      </c>
      <c r="E10" s="1"/>
      <c r="F10" s="5">
        <v>2</v>
      </c>
      <c r="G10" s="6">
        <v>100</v>
      </c>
      <c r="H10" s="7">
        <v>2.1999999999999999E-5</v>
      </c>
      <c r="I10" s="8">
        <f t="shared" si="0"/>
        <v>2.7771646721557389E-5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5">
        <v>3</v>
      </c>
      <c r="B11" s="6">
        <v>10000</v>
      </c>
      <c r="C11" s="7">
        <v>0.21573600000000001</v>
      </c>
      <c r="D11" s="8">
        <v>1.212E-3</v>
      </c>
      <c r="E11" s="1"/>
      <c r="F11" s="5">
        <v>3</v>
      </c>
      <c r="G11" s="6">
        <v>10000</v>
      </c>
      <c r="H11" s="7">
        <v>0.21573600000000001</v>
      </c>
      <c r="I11" s="8">
        <f t="shared" si="0"/>
        <v>0.28049363188772963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5">
        <v>4</v>
      </c>
      <c r="B12" s="6">
        <v>20000</v>
      </c>
      <c r="C12" s="7">
        <v>0.95678300000000005</v>
      </c>
      <c r="D12" s="8">
        <v>2.601E-3</v>
      </c>
      <c r="E12" s="1"/>
      <c r="F12" s="5">
        <v>4</v>
      </c>
      <c r="G12" s="6">
        <v>20000</v>
      </c>
      <c r="H12" s="7">
        <v>0.95678300000000005</v>
      </c>
      <c r="I12" s="8">
        <f t="shared" si="0"/>
        <v>1.1220306318877298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5">
        <v>5</v>
      </c>
      <c r="B13" s="6">
        <v>30000</v>
      </c>
      <c r="C13" s="7">
        <v>2.5246110000000002</v>
      </c>
      <c r="D13" s="8">
        <v>4.8459999999999996E-3</v>
      </c>
      <c r="E13" s="1"/>
      <c r="F13" s="5">
        <v>5</v>
      </c>
      <c r="G13" s="6">
        <v>30000</v>
      </c>
      <c r="H13" s="7">
        <v>2.5246110000000002</v>
      </c>
      <c r="I13" s="8">
        <f t="shared" si="0"/>
        <v>2.5246110000000002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5">
        <v>6</v>
      </c>
      <c r="B14" s="6">
        <v>40000</v>
      </c>
      <c r="C14" s="7">
        <v>4.2795040000000002</v>
      </c>
      <c r="D14" s="8">
        <v>5.6860000000000001E-3</v>
      </c>
      <c r="E14" s="1"/>
      <c r="F14" s="5">
        <v>6</v>
      </c>
      <c r="G14" s="6">
        <v>40000</v>
      </c>
      <c r="H14" s="7">
        <v>4.2795040000000002</v>
      </c>
      <c r="I14" s="8">
        <f t="shared" si="0"/>
        <v>4.4882347362245412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5">
        <v>7</v>
      </c>
      <c r="B15" s="6">
        <v>50000</v>
      </c>
      <c r="C15" s="10">
        <v>6.4488729999999999</v>
      </c>
      <c r="D15" s="8">
        <v>7.3239999999999998E-3</v>
      </c>
      <c r="E15" s="1"/>
      <c r="F15" s="5">
        <v>7</v>
      </c>
      <c r="G15" s="6">
        <v>50000</v>
      </c>
      <c r="H15" s="10">
        <v>6.4488729999999999</v>
      </c>
      <c r="I15" s="8">
        <f t="shared" si="0"/>
        <v>7.0129018405613532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23" t="s">
        <v>10</v>
      </c>
      <c r="C20" s="19"/>
      <c r="D20" s="19"/>
      <c r="E20" s="19"/>
      <c r="F20" s="19"/>
      <c r="G20" s="19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24" t="s">
        <v>11</v>
      </c>
      <c r="C22" s="19"/>
      <c r="D22" s="19"/>
      <c r="E22" s="19"/>
      <c r="F22" s="19"/>
      <c r="G22" s="1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1" t="s">
        <v>12</v>
      </c>
      <c r="B25" s="27" t="s">
        <v>13</v>
      </c>
      <c r="C25" s="19"/>
      <c r="D25" s="19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30" t="s">
        <v>14</v>
      </c>
      <c r="B27" s="33" t="s">
        <v>15</v>
      </c>
      <c r="C27" s="33" t="s">
        <v>16</v>
      </c>
      <c r="D27" s="25" t="s">
        <v>17</v>
      </c>
      <c r="E27" s="26"/>
      <c r="F27" s="12"/>
      <c r="G27" s="1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31"/>
      <c r="B28" s="31"/>
      <c r="C28" s="31"/>
      <c r="D28" s="28" t="s">
        <v>18</v>
      </c>
      <c r="E28" s="28" t="s">
        <v>19</v>
      </c>
      <c r="F28" s="12"/>
      <c r="G28" s="1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29"/>
      <c r="B29" s="29"/>
      <c r="C29" s="29"/>
      <c r="D29" s="29"/>
      <c r="E29" s="29"/>
      <c r="F29" s="12"/>
      <c r="G29" s="1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6">
        <v>10</v>
      </c>
      <c r="B30" s="7">
        <v>9.9999999999999995E-7</v>
      </c>
      <c r="C30" s="8">
        <v>9.9999999999999995E-7</v>
      </c>
      <c r="D30" s="13">
        <v>2.4000000000000001E-5</v>
      </c>
      <c r="E30" s="9">
        <v>6.2000000000000003E-5</v>
      </c>
      <c r="F30" s="12"/>
      <c r="G30" s="1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6">
        <v>100</v>
      </c>
      <c r="B31" s="7">
        <v>2.1999999999999999E-5</v>
      </c>
      <c r="C31" s="8">
        <v>7.9999999999999996E-6</v>
      </c>
      <c r="D31" s="13">
        <v>4.6999999999999997E-5</v>
      </c>
      <c r="E31" s="9">
        <v>2.1999999999999999E-5</v>
      </c>
      <c r="F31" s="12"/>
      <c r="G31" s="1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6">
        <v>10000</v>
      </c>
      <c r="B32" s="7">
        <v>0.21573600000000001</v>
      </c>
      <c r="C32" s="8">
        <v>1.212E-3</v>
      </c>
      <c r="D32" s="13">
        <v>5.4246999999999997E-2</v>
      </c>
      <c r="E32" s="9">
        <v>2.2623000000000001E-2</v>
      </c>
      <c r="F32" s="12"/>
      <c r="G32" s="14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6">
        <v>20000</v>
      </c>
      <c r="B33" s="7">
        <v>0.95678300000000005</v>
      </c>
      <c r="C33" s="8">
        <v>2.601E-3</v>
      </c>
      <c r="D33" s="13">
        <v>0.28792800000000002</v>
      </c>
      <c r="E33" s="9">
        <v>0.10173599999999999</v>
      </c>
      <c r="F33" s="12"/>
      <c r="G33" s="14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6">
        <v>30000</v>
      </c>
      <c r="B34" s="7">
        <v>2.5246110000000002</v>
      </c>
      <c r="C34" s="8">
        <v>4.8459999999999996E-3</v>
      </c>
      <c r="D34" s="13">
        <v>0.63713500000000001</v>
      </c>
      <c r="E34" s="9">
        <v>0.20152600000000001</v>
      </c>
      <c r="F34" s="12"/>
      <c r="G34" s="1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6">
        <v>40000</v>
      </c>
      <c r="B35" s="7">
        <v>4.2795040000000002</v>
      </c>
      <c r="C35" s="8">
        <v>5.6860000000000001E-3</v>
      </c>
      <c r="D35" s="13">
        <v>1.3309759999999999</v>
      </c>
      <c r="E35" s="9">
        <v>0.41086899999999998</v>
      </c>
      <c r="F35" s="12"/>
      <c r="G35" s="14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6">
        <v>50000</v>
      </c>
      <c r="B36" s="10">
        <v>6.4488729999999999</v>
      </c>
      <c r="C36" s="8">
        <v>7.3239999999999998E-3</v>
      </c>
      <c r="D36" s="13">
        <v>2.156952</v>
      </c>
      <c r="E36" s="9">
        <v>0.59187999999999996</v>
      </c>
      <c r="F36" s="12"/>
      <c r="G36" s="1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5" t="s">
        <v>20</v>
      </c>
      <c r="B41" s="32" t="s">
        <v>21</v>
      </c>
      <c r="C41" s="19"/>
      <c r="D41" s="19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 t="s">
        <v>22</v>
      </c>
      <c r="C42" s="1" t="s">
        <v>23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 t="s">
        <v>24</v>
      </c>
      <c r="C43" s="1" t="s">
        <v>25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x14ac:dyDescent="0.25">
      <c r="A45" s="30" t="s">
        <v>14</v>
      </c>
      <c r="B45" s="25" t="s">
        <v>17</v>
      </c>
      <c r="C45" s="35"/>
      <c r="D45" s="35"/>
      <c r="E45" s="26"/>
      <c r="F45" s="1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31"/>
      <c r="B46" s="34" t="s">
        <v>18</v>
      </c>
      <c r="C46" s="26"/>
      <c r="D46" s="34" t="s">
        <v>26</v>
      </c>
      <c r="E46" s="26"/>
      <c r="F46" s="1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29"/>
      <c r="B47" s="4" t="s">
        <v>22</v>
      </c>
      <c r="C47" s="4" t="s">
        <v>24</v>
      </c>
      <c r="D47" s="4" t="s">
        <v>22</v>
      </c>
      <c r="E47" s="4" t="s">
        <v>24</v>
      </c>
      <c r="F47" s="1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6">
        <v>10</v>
      </c>
      <c r="B48" s="13">
        <f t="shared" ref="B48:B54" si="1">B30/D30</f>
        <v>4.1666666666666664E-2</v>
      </c>
      <c r="C48" s="9">
        <f t="shared" ref="C48:C54" si="2">C30/D30</f>
        <v>4.1666666666666664E-2</v>
      </c>
      <c r="D48" s="13">
        <f t="shared" ref="D48:D54" si="3">B30/E30</f>
        <v>1.6129032258064516E-2</v>
      </c>
      <c r="E48" s="9">
        <f t="shared" ref="E48:E54" si="4">C30/E30</f>
        <v>1.6129032258064516E-2</v>
      </c>
      <c r="F48" s="1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6">
        <v>100</v>
      </c>
      <c r="B49" s="13">
        <f t="shared" si="1"/>
        <v>0.46808510638297873</v>
      </c>
      <c r="C49" s="9">
        <f t="shared" si="2"/>
        <v>0.1702127659574468</v>
      </c>
      <c r="D49" s="13">
        <f t="shared" si="3"/>
        <v>1</v>
      </c>
      <c r="E49" s="9">
        <f t="shared" si="4"/>
        <v>0.36363636363636365</v>
      </c>
      <c r="F49" s="1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6">
        <v>10000</v>
      </c>
      <c r="B50" s="13">
        <f t="shared" si="1"/>
        <v>3.9769203826939745</v>
      </c>
      <c r="C50" s="9">
        <f t="shared" si="2"/>
        <v>2.2342249340977383E-2</v>
      </c>
      <c r="D50" s="13">
        <f t="shared" si="3"/>
        <v>9.5361357910091495</v>
      </c>
      <c r="E50" s="9">
        <f t="shared" si="4"/>
        <v>5.3573796578703085E-2</v>
      </c>
      <c r="F50" s="1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6">
        <v>20000</v>
      </c>
      <c r="B51" s="13">
        <f t="shared" si="1"/>
        <v>3.3229939429301769</v>
      </c>
      <c r="C51" s="9">
        <f t="shared" si="2"/>
        <v>9.0335083770942733E-3</v>
      </c>
      <c r="D51" s="13">
        <f t="shared" si="3"/>
        <v>9.4045667217110971</v>
      </c>
      <c r="E51" s="9">
        <f t="shared" si="4"/>
        <v>2.5566171266808213E-2</v>
      </c>
      <c r="F51" s="1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6">
        <v>30000</v>
      </c>
      <c r="B52" s="13">
        <f t="shared" si="1"/>
        <v>3.962442810393402</v>
      </c>
      <c r="C52" s="9">
        <f t="shared" si="2"/>
        <v>7.6059233914319568E-3</v>
      </c>
      <c r="D52" s="13">
        <f t="shared" si="3"/>
        <v>12.52747040084158</v>
      </c>
      <c r="E52" s="9">
        <f t="shared" si="4"/>
        <v>2.4046525014142093E-2</v>
      </c>
      <c r="F52" s="1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6">
        <v>40000</v>
      </c>
      <c r="B53" s="13">
        <f t="shared" si="1"/>
        <v>3.2153126728055206</v>
      </c>
      <c r="C53" s="9">
        <f t="shared" si="2"/>
        <v>4.2720529896857649E-3</v>
      </c>
      <c r="D53" s="13">
        <f t="shared" si="3"/>
        <v>10.415738349692969</v>
      </c>
      <c r="E53" s="9">
        <f t="shared" si="4"/>
        <v>1.3838960836665701E-2</v>
      </c>
      <c r="F53" s="1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6">
        <v>50000</v>
      </c>
      <c r="B54" s="13">
        <f t="shared" si="1"/>
        <v>2.9898083035691103</v>
      </c>
      <c r="C54" s="9">
        <f t="shared" si="2"/>
        <v>3.395532213976018E-3</v>
      </c>
      <c r="D54" s="13">
        <f t="shared" si="3"/>
        <v>10.895575116577685</v>
      </c>
      <c r="E54" s="9">
        <f t="shared" si="4"/>
        <v>1.2374129891194161E-2</v>
      </c>
      <c r="F54" s="1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x14ac:dyDescent="0.25">
      <c r="A56" s="16"/>
      <c r="B56" s="36" t="s">
        <v>27</v>
      </c>
      <c r="C56" s="19"/>
      <c r="D56" s="19"/>
      <c r="E56" s="19"/>
      <c r="F56" s="19"/>
      <c r="G56" s="19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x14ac:dyDescent="0.25">
      <c r="A58" s="30" t="s">
        <v>14</v>
      </c>
      <c r="B58" s="30" t="s">
        <v>28</v>
      </c>
      <c r="C58" s="33" t="s">
        <v>16</v>
      </c>
      <c r="D58" s="25" t="s">
        <v>17</v>
      </c>
      <c r="E58" s="35"/>
      <c r="F58" s="26"/>
      <c r="G58" s="16"/>
      <c r="H58" s="16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31"/>
      <c r="B59" s="31"/>
      <c r="C59" s="31"/>
      <c r="D59" s="28" t="s">
        <v>18</v>
      </c>
      <c r="E59" s="28" t="s">
        <v>19</v>
      </c>
      <c r="F59" s="28" t="s">
        <v>29</v>
      </c>
      <c r="G59" s="16"/>
      <c r="H59" s="16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29"/>
      <c r="B60" s="29"/>
      <c r="C60" s="29"/>
      <c r="D60" s="29"/>
      <c r="E60" s="29"/>
      <c r="F60" s="29"/>
      <c r="G60" s="16"/>
      <c r="H60" s="16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6">
        <v>10</v>
      </c>
      <c r="B61" s="7">
        <v>9.9999999999999995E-7</v>
      </c>
      <c r="C61" s="8">
        <v>9.9999999999999995E-7</v>
      </c>
      <c r="D61" s="13">
        <v>1.35E-4</v>
      </c>
      <c r="E61" s="9">
        <v>2.8699999999999998E-4</v>
      </c>
      <c r="F61" s="9">
        <v>2.8899999999999998E-4</v>
      </c>
      <c r="G61" s="16"/>
      <c r="H61" s="16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6">
        <v>100</v>
      </c>
      <c r="B62" s="7">
        <v>2.8E-5</v>
      </c>
      <c r="C62" s="8">
        <v>7.9999999999999996E-6</v>
      </c>
      <c r="D62" s="13">
        <v>3.8999999999999999E-5</v>
      </c>
      <c r="E62" s="9">
        <v>2.5999999999999998E-5</v>
      </c>
      <c r="F62" s="9">
        <v>8.2999999999999998E-5</v>
      </c>
      <c r="G62" s="16"/>
      <c r="H62" s="16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6">
        <v>10000</v>
      </c>
      <c r="B63" s="7">
        <v>0.171292</v>
      </c>
      <c r="C63" s="8">
        <v>1.4890000000000001E-3</v>
      </c>
      <c r="D63" s="13">
        <v>6.3212000000000004E-2</v>
      </c>
      <c r="E63" s="9">
        <v>1.6351999999999998E-2</v>
      </c>
      <c r="F63" s="9">
        <v>4.6049999999999997E-3</v>
      </c>
      <c r="G63" s="16"/>
      <c r="H63" s="16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6">
        <v>20000</v>
      </c>
      <c r="B64" s="7">
        <v>0.68500099999999997</v>
      </c>
      <c r="C64" s="8">
        <v>3.2169999999999998E-3</v>
      </c>
      <c r="D64" s="13">
        <v>0.24945000000000001</v>
      </c>
      <c r="E64" s="9">
        <v>6.3671000000000005E-2</v>
      </c>
      <c r="F64" s="9">
        <v>1.6670999999999998E-2</v>
      </c>
      <c r="G64" s="16"/>
      <c r="H64" s="16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6">
        <v>30000</v>
      </c>
      <c r="B65" s="7">
        <v>1.55328</v>
      </c>
      <c r="C65" s="8">
        <v>4.9829999999999996E-3</v>
      </c>
      <c r="D65" s="13">
        <v>0.55976099999999995</v>
      </c>
      <c r="E65" s="9">
        <v>0.14247899999999999</v>
      </c>
      <c r="F65" s="9">
        <v>3.6678000000000002E-2</v>
      </c>
      <c r="G65" s="16"/>
      <c r="H65" s="16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6">
        <v>40000</v>
      </c>
      <c r="B66" s="7">
        <v>2.7444459999999999</v>
      </c>
      <c r="C66" s="8">
        <v>6.7200000000000003E-3</v>
      </c>
      <c r="D66" s="13">
        <v>0.997838</v>
      </c>
      <c r="E66" s="9">
        <v>0.25103300000000001</v>
      </c>
      <c r="F66" s="9">
        <v>6.4579999999999999E-2</v>
      </c>
      <c r="G66" s="16"/>
      <c r="H66" s="16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6">
        <v>50000</v>
      </c>
      <c r="B67" s="10">
        <v>4.3663410000000002</v>
      </c>
      <c r="C67" s="8">
        <v>8.8590000000000006E-3</v>
      </c>
      <c r="D67" s="13">
        <v>1.556872</v>
      </c>
      <c r="E67" s="9">
        <v>0.391953</v>
      </c>
      <c r="F67" s="9">
        <v>0.100133</v>
      </c>
      <c r="G67" s="16"/>
      <c r="H67" s="16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x14ac:dyDescent="0.25">
      <c r="A70" s="30" t="s">
        <v>14</v>
      </c>
      <c r="B70" s="25" t="s">
        <v>17</v>
      </c>
      <c r="C70" s="35"/>
      <c r="D70" s="35"/>
      <c r="E70" s="35"/>
      <c r="F70" s="35"/>
      <c r="G70" s="2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x14ac:dyDescent="0.25">
      <c r="A71" s="31"/>
      <c r="B71" s="34" t="s">
        <v>18</v>
      </c>
      <c r="C71" s="26"/>
      <c r="D71" s="34" t="s">
        <v>26</v>
      </c>
      <c r="E71" s="26"/>
      <c r="F71" s="34" t="s">
        <v>30</v>
      </c>
      <c r="G71" s="2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5">
      <c r="A72" s="29"/>
      <c r="B72" s="4" t="s">
        <v>22</v>
      </c>
      <c r="C72" s="4" t="s">
        <v>24</v>
      </c>
      <c r="D72" s="4" t="s">
        <v>22</v>
      </c>
      <c r="E72" s="4" t="s">
        <v>24</v>
      </c>
      <c r="F72" s="4" t="s">
        <v>22</v>
      </c>
      <c r="G72" s="4" t="s">
        <v>24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x14ac:dyDescent="0.25">
      <c r="A73" s="6">
        <v>10</v>
      </c>
      <c r="B73" s="17">
        <f t="shared" ref="B73:B79" si="5">B61/D61</f>
        <v>7.4074074074074068E-3</v>
      </c>
      <c r="C73" s="17">
        <f t="shared" ref="C73:C79" si="6">C61/D61</f>
        <v>7.4074074074074068E-3</v>
      </c>
      <c r="D73" s="17">
        <f t="shared" ref="D73:D79" si="7">B61/E61</f>
        <v>3.4843205574912892E-3</v>
      </c>
      <c r="E73" s="17">
        <f t="shared" ref="E73:E79" si="8">C61/E61</f>
        <v>3.4843205574912892E-3</v>
      </c>
      <c r="F73" s="17">
        <f t="shared" ref="F73:F79" si="9">B61/F61</f>
        <v>3.4602076124567475E-3</v>
      </c>
      <c r="G73" s="17">
        <f t="shared" ref="G73:G79" si="10">C61/F61</f>
        <v>3.4602076124567475E-3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x14ac:dyDescent="0.25">
      <c r="A74" s="6">
        <v>100</v>
      </c>
      <c r="B74" s="17">
        <f t="shared" si="5"/>
        <v>0.71794871794871795</v>
      </c>
      <c r="C74" s="17">
        <f t="shared" si="6"/>
        <v>0.20512820512820512</v>
      </c>
      <c r="D74" s="17">
        <f t="shared" si="7"/>
        <v>1.0769230769230769</v>
      </c>
      <c r="E74" s="17">
        <f t="shared" si="8"/>
        <v>0.30769230769230771</v>
      </c>
      <c r="F74" s="17">
        <f t="shared" si="9"/>
        <v>0.33734939759036142</v>
      </c>
      <c r="G74" s="17">
        <f t="shared" si="10"/>
        <v>9.638554216867469E-2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x14ac:dyDescent="0.25">
      <c r="A75" s="6">
        <v>10000</v>
      </c>
      <c r="B75" s="17">
        <f t="shared" si="5"/>
        <v>2.7098019363412007</v>
      </c>
      <c r="C75" s="17">
        <f t="shared" si="6"/>
        <v>2.3555653989748782E-2</v>
      </c>
      <c r="D75" s="17">
        <f t="shared" si="7"/>
        <v>10.475293542074365</v>
      </c>
      <c r="E75" s="17">
        <f t="shared" si="8"/>
        <v>9.1059197651663412E-2</v>
      </c>
      <c r="F75" s="17">
        <f t="shared" si="9"/>
        <v>37.196959826275787</v>
      </c>
      <c r="G75" s="17">
        <f t="shared" si="10"/>
        <v>0.32334419109663415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x14ac:dyDescent="0.25">
      <c r="A76" s="6">
        <v>20000</v>
      </c>
      <c r="B76" s="17">
        <f t="shared" si="5"/>
        <v>2.7460452996592504</v>
      </c>
      <c r="C76" s="17">
        <f t="shared" si="6"/>
        <v>1.2896372018440568E-2</v>
      </c>
      <c r="D76" s="17">
        <f t="shared" si="7"/>
        <v>10.758445760236214</v>
      </c>
      <c r="E76" s="17">
        <f t="shared" si="8"/>
        <v>5.0525356912880265E-2</v>
      </c>
      <c r="F76" s="17">
        <f t="shared" si="9"/>
        <v>41.089376762041873</v>
      </c>
      <c r="G76" s="17">
        <f t="shared" si="10"/>
        <v>0.19296982784476038</v>
      </c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x14ac:dyDescent="0.25">
      <c r="A77" s="6">
        <v>30000</v>
      </c>
      <c r="B77" s="17">
        <f t="shared" si="5"/>
        <v>2.7748985727837416</v>
      </c>
      <c r="C77" s="17">
        <f t="shared" si="6"/>
        <v>8.9020135379206475E-3</v>
      </c>
      <c r="D77" s="17">
        <f t="shared" si="7"/>
        <v>10.90181710988988</v>
      </c>
      <c r="E77" s="17">
        <f t="shared" si="8"/>
        <v>3.4973575053165729E-2</v>
      </c>
      <c r="F77" s="17">
        <f t="shared" si="9"/>
        <v>42.349092098805819</v>
      </c>
      <c r="G77" s="17">
        <f t="shared" si="10"/>
        <v>0.13585800752494681</v>
      </c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x14ac:dyDescent="0.25">
      <c r="A78" s="6">
        <v>40000</v>
      </c>
      <c r="B78" s="17">
        <f t="shared" si="5"/>
        <v>2.7503923482569315</v>
      </c>
      <c r="C78" s="17">
        <f t="shared" si="6"/>
        <v>6.7345601189772288E-3</v>
      </c>
      <c r="D78" s="17">
        <f t="shared" si="7"/>
        <v>10.932610453605701</v>
      </c>
      <c r="E78" s="17">
        <f t="shared" si="8"/>
        <v>2.6769388885126658E-2</v>
      </c>
      <c r="F78" s="17">
        <f t="shared" si="9"/>
        <v>42.496841127283986</v>
      </c>
      <c r="G78" s="17">
        <f t="shared" si="10"/>
        <v>0.10405698358624962</v>
      </c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x14ac:dyDescent="0.25">
      <c r="A79" s="6">
        <v>50000</v>
      </c>
      <c r="B79" s="17">
        <f t="shared" si="5"/>
        <v>2.8045600409025275</v>
      </c>
      <c r="C79" s="17">
        <f t="shared" si="6"/>
        <v>5.6902558463380421E-3</v>
      </c>
      <c r="D79" s="17">
        <f t="shared" si="7"/>
        <v>11.139960658548347</v>
      </c>
      <c r="E79" s="17">
        <f t="shared" si="8"/>
        <v>2.2602199753541882E-2</v>
      </c>
      <c r="F79" s="17">
        <f t="shared" si="9"/>
        <v>43.605414798318236</v>
      </c>
      <c r="G79" s="17">
        <f t="shared" si="10"/>
        <v>8.8472331798707726E-2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 spans="1:26" x14ac:dyDescent="0.25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 spans="1:26" x14ac:dyDescent="0.25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 spans="1:26" x14ac:dyDescent="0.25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 spans="1:26" x14ac:dyDescent="0.25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 spans="1:26" x14ac:dyDescent="0.2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 spans="1:26" x14ac:dyDescent="0.25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 spans="1:26" x14ac:dyDescent="0.25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</sheetData>
  <mergeCells count="32">
    <mergeCell ref="B56:G56"/>
    <mergeCell ref="A58:A60"/>
    <mergeCell ref="B58:B60"/>
    <mergeCell ref="F71:G71"/>
    <mergeCell ref="B70:G70"/>
    <mergeCell ref="F59:F60"/>
    <mergeCell ref="D58:F58"/>
    <mergeCell ref="E59:E60"/>
    <mergeCell ref="C58:C60"/>
    <mergeCell ref="D59:D60"/>
    <mergeCell ref="A70:A72"/>
    <mergeCell ref="B71:C71"/>
    <mergeCell ref="D71:E71"/>
    <mergeCell ref="A45:A47"/>
    <mergeCell ref="B41:D41"/>
    <mergeCell ref="A27:A29"/>
    <mergeCell ref="B27:B29"/>
    <mergeCell ref="C27:C29"/>
    <mergeCell ref="B45:E45"/>
    <mergeCell ref="B46:C46"/>
    <mergeCell ref="D46:E46"/>
    <mergeCell ref="B20:G20"/>
    <mergeCell ref="B22:G22"/>
    <mergeCell ref="D27:E27"/>
    <mergeCell ref="B25:D25"/>
    <mergeCell ref="D28:D29"/>
    <mergeCell ref="E28:E29"/>
    <mergeCell ref="B1:F1"/>
    <mergeCell ref="B4:F4"/>
    <mergeCell ref="B6:D6"/>
    <mergeCell ref="G6:J6"/>
    <mergeCell ref="K8:M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Nazar Teslenko</cp:lastModifiedBy>
  <dcterms:modified xsi:type="dcterms:W3CDTF">2025-11-03T12:26:18Z</dcterms:modified>
</cp:coreProperties>
</file>